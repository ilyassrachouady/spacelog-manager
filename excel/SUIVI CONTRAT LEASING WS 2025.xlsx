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fc42e7fd435e6f/Bureau/WOODSTOCK TRADING/"/>
    </mc:Choice>
  </mc:AlternateContent>
  <xr:revisionPtr revIDLastSave="105" documentId="8_{07BDAD5B-0D46-4DCC-8666-104341B16A45}" xr6:coauthVersionLast="47" xr6:coauthVersionMax="47" xr10:uidLastSave="{6C921274-E8B3-406E-A5CA-5207E6804EC7}"/>
  <bookViews>
    <workbookView xWindow="28680" yWindow="-120" windowWidth="29040" windowHeight="15720" xr2:uid="{00000000-000D-0000-FFFF-FFFF00000000}"/>
  </bookViews>
  <sheets>
    <sheet name="Contract details" sheetId="1" r:id="rId1"/>
  </sheets>
  <definedNames>
    <definedName name="_xlnm.Print_Area" localSheetId="0">'Contract details'!$A$1:$J$36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3" i="1"/>
  <c r="E31" i="1"/>
  <c r="E29" i="1"/>
  <c r="E25" i="1"/>
  <c r="E6" i="1"/>
  <c r="E7" i="1"/>
  <c r="E11" i="1"/>
  <c r="E12" i="1"/>
  <c r="E15" i="1"/>
  <c r="E13" i="1"/>
  <c r="E20" i="1"/>
  <c r="E21" i="1"/>
  <c r="E23" i="1"/>
  <c r="E39" i="1"/>
  <c r="E17" i="1"/>
</calcChain>
</file>

<file path=xl/sharedStrings.xml><?xml version="1.0" encoding="utf-8"?>
<sst xmlns="http://schemas.openxmlformats.org/spreadsheetml/2006/main" count="97" uniqueCount="66">
  <si>
    <t>Détails fournisseurs</t>
  </si>
  <si>
    <t/>
  </si>
  <si>
    <t>Numéro de contrat</t>
  </si>
  <si>
    <t>Description</t>
  </si>
  <si>
    <t>083-64360</t>
  </si>
  <si>
    <t>Mezzanine métallique</t>
  </si>
  <si>
    <t>083-59865</t>
  </si>
  <si>
    <t>Matériel</t>
  </si>
  <si>
    <t>083-66327</t>
  </si>
  <si>
    <t>PRO P'OZ</t>
  </si>
  <si>
    <t>083-72218</t>
  </si>
  <si>
    <t>I-LYNX</t>
  </si>
  <si>
    <t>Installation Videosurveillance</t>
  </si>
  <si>
    <t>083-65425</t>
  </si>
  <si>
    <t>Mezzanine</t>
  </si>
  <si>
    <t>083-70859</t>
  </si>
  <si>
    <t>Selon devis DE70920-02</t>
  </si>
  <si>
    <t>083-71158</t>
  </si>
  <si>
    <t>ACCOPY</t>
  </si>
  <si>
    <t>IRA 5840</t>
  </si>
  <si>
    <t>083-71647</t>
  </si>
  <si>
    <t>Rayonnage</t>
  </si>
  <si>
    <t>058-66126</t>
  </si>
  <si>
    <t>Alarme anti intrusion...</t>
  </si>
  <si>
    <t>083-58389</t>
  </si>
  <si>
    <t>Materiel</t>
  </si>
  <si>
    <t>083-65560</t>
  </si>
  <si>
    <t>Escalier Metallique</t>
  </si>
  <si>
    <t>COMPTA</t>
  </si>
  <si>
    <t>Loyer Mensuel</t>
  </si>
  <si>
    <t>Loyer Trim</t>
  </si>
  <si>
    <t>Enseigne</t>
  </si>
  <si>
    <t>Lieu</t>
  </si>
  <si>
    <t>MONTIGNY</t>
  </si>
  <si>
    <t>BOISSY</t>
  </si>
  <si>
    <t>MOUSSY</t>
  </si>
  <si>
    <t>DEPOT</t>
  </si>
  <si>
    <t>COPIEUR</t>
  </si>
  <si>
    <t>MEZZANINE</t>
  </si>
  <si>
    <t>ALARME</t>
  </si>
  <si>
    <t>ENSEIGNE</t>
  </si>
  <si>
    <t>083-73013</t>
  </si>
  <si>
    <t>echeance</t>
  </si>
  <si>
    <t>083-74295</t>
  </si>
  <si>
    <t>083-73520</t>
  </si>
  <si>
    <t>083-73549</t>
  </si>
  <si>
    <t>058-73431</t>
  </si>
  <si>
    <t>01/01/2031</t>
  </si>
  <si>
    <t>01/04/2031</t>
  </si>
  <si>
    <t>01/07/2031</t>
  </si>
  <si>
    <t>Durée</t>
  </si>
  <si>
    <t>Rideau metallique</t>
  </si>
  <si>
    <t>Mezzanine de stockage</t>
  </si>
  <si>
    <t>Monte charge</t>
  </si>
  <si>
    <t>SYSTÈME DE SECURITE</t>
  </si>
  <si>
    <t>MANUREGION</t>
  </si>
  <si>
    <t>AS TEKNIK</t>
  </si>
  <si>
    <t>DIPLEX</t>
  </si>
  <si>
    <t>MAIA ASCENSEURS</t>
  </si>
  <si>
    <t>SYNERGY - LEASE</t>
  </si>
  <si>
    <t>TRAPPES</t>
  </si>
  <si>
    <t>MONTE CHARGES</t>
  </si>
  <si>
    <t>TRAVAUX</t>
  </si>
  <si>
    <t xml:space="preserve">Porte Sectionnelle </t>
  </si>
  <si>
    <t>LS PARTENAIRES</t>
  </si>
  <si>
    <t>CONTRATS GRENKE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</si>
</sst>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Alignment="1">
      <alignment horizontal="left"/>
    </xf>
    <xf numFmtId="43" fontId="0" fillId="0" borderId="0" xfId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43" fontId="0" fillId="0" borderId="0" xfId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4" fillId="0" borderId="0" xfId="1" applyNumberFormat="1" applyFont="1" applyAlignment="1">
      <alignment horizontal="center"/>
    </xf>
    <xf numFmtId="0" fontId="4" fillId="0" borderId="0" xfId="0" applyFont="1"/>
    <xf numFmtId="0" fontId="1" fillId="0" borderId="0" xfId="0" applyFont="1"/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0" xfId="0" applyFont="1"/>
    <xf numFmtId="164" fontId="0" fillId="4" borderId="0" xfId="1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43" fontId="0" fillId="0" borderId="0" xfId="1" applyFont="1" applyFill="1"/>
    <xf numFmtId="0" fontId="1" fillId="0" borderId="0" xfId="0" applyFont="1" applyFill="1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tabSelected="1" topLeftCell="A7" workbookViewId="0">
      <selection activeCell="K33" sqref="K33"/>
    </sheetView>
  </sheetViews>
  <sheetFormatPr baseColWidth="10" defaultColWidth="9.140625" defaultRowHeight="15" x14ac:dyDescent="0.25"/>
  <cols>
    <col min="1" max="1" width="18.5703125" customWidth="1"/>
    <col min="2" max="2" width="9.140625" style="5" customWidth="1"/>
    <col min="3" max="3" width="11.85546875" customWidth="1"/>
    <col min="4" max="4" width="14.7109375" style="4" customWidth="1"/>
    <col min="5" max="5" width="11.85546875" style="4" customWidth="1"/>
    <col min="6" max="6" width="16.85546875" style="8" customWidth="1"/>
    <col min="7" max="7" width="21.85546875" style="8" bestFit="1" customWidth="1"/>
    <col min="8" max="8" width="16.85546875" style="8" customWidth="1"/>
    <col min="9" max="9" width="27.85546875" style="8" bestFit="1" customWidth="1"/>
    <col min="10" max="10" width="35" customWidth="1"/>
    <col min="11" max="11" width="30.5703125" customWidth="1"/>
  </cols>
  <sheetData>
    <row r="1" spans="1:11" x14ac:dyDescent="0.25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1" t="s">
        <v>1</v>
      </c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K2" s="1"/>
    </row>
    <row r="3" spans="1:11" s="15" customFormat="1" x14ac:dyDescent="0.25">
      <c r="A3" s="6" t="s">
        <v>2</v>
      </c>
      <c r="B3" s="6" t="s">
        <v>50</v>
      </c>
      <c r="C3" s="1" t="s">
        <v>42</v>
      </c>
      <c r="D3" s="6" t="s">
        <v>29</v>
      </c>
      <c r="E3" s="6" t="s">
        <v>30</v>
      </c>
      <c r="F3" s="14" t="s">
        <v>28</v>
      </c>
      <c r="G3" s="14" t="s">
        <v>3</v>
      </c>
      <c r="H3" s="14" t="s">
        <v>32</v>
      </c>
      <c r="I3" s="6" t="s">
        <v>3</v>
      </c>
      <c r="J3" s="1" t="s">
        <v>0</v>
      </c>
    </row>
    <row r="4" spans="1:11" x14ac:dyDescent="0.25">
      <c r="A4" s="1"/>
      <c r="B4" s="1"/>
      <c r="C4" s="16"/>
      <c r="D4" s="1"/>
      <c r="E4" s="1"/>
      <c r="F4" s="7"/>
      <c r="G4" s="7"/>
      <c r="H4" s="7"/>
      <c r="I4" s="1"/>
      <c r="J4" s="1"/>
    </row>
    <row r="5" spans="1:11" x14ac:dyDescent="0.25">
      <c r="A5" s="1"/>
      <c r="B5" s="1"/>
      <c r="C5" s="16"/>
      <c r="D5" s="1"/>
      <c r="E5" s="1"/>
      <c r="F5" s="7"/>
      <c r="G5" s="7"/>
      <c r="H5" s="7"/>
      <c r="I5" s="1"/>
      <c r="J5" s="1"/>
    </row>
    <row r="6" spans="1:11" x14ac:dyDescent="0.25">
      <c r="A6" s="1" t="s">
        <v>24</v>
      </c>
      <c r="B6" s="5">
        <v>60</v>
      </c>
      <c r="C6" s="17">
        <v>46753</v>
      </c>
      <c r="D6" s="10">
        <v>600</v>
      </c>
      <c r="E6" s="3">
        <f t="shared" ref="E6:E23" si="0">D6*3</f>
        <v>1800</v>
      </c>
      <c r="F6" s="8">
        <v>613508</v>
      </c>
      <c r="G6" s="9" t="s">
        <v>38</v>
      </c>
      <c r="H6" s="9" t="s">
        <v>33</v>
      </c>
      <c r="I6" s="2" t="s">
        <v>25</v>
      </c>
      <c r="J6" s="11" t="s">
        <v>64</v>
      </c>
    </row>
    <row r="7" spans="1:11" x14ac:dyDescent="0.25">
      <c r="A7" s="1" t="s">
        <v>6</v>
      </c>
      <c r="B7" s="5">
        <v>60</v>
      </c>
      <c r="C7" s="17">
        <v>46844</v>
      </c>
      <c r="D7" s="10">
        <v>1400</v>
      </c>
      <c r="E7" s="3">
        <f t="shared" si="0"/>
        <v>4200</v>
      </c>
      <c r="F7" s="8">
        <v>613508</v>
      </c>
      <c r="G7" s="9" t="s">
        <v>38</v>
      </c>
      <c r="H7" s="9" t="s">
        <v>33</v>
      </c>
      <c r="I7" s="2" t="s">
        <v>7</v>
      </c>
      <c r="J7" s="11" t="s">
        <v>64</v>
      </c>
    </row>
    <row r="8" spans="1:11" x14ac:dyDescent="0.25">
      <c r="A8" s="1"/>
      <c r="C8" s="17"/>
      <c r="D8" s="10"/>
      <c r="E8" s="3"/>
      <c r="G8" s="9"/>
      <c r="H8" s="9"/>
      <c r="I8" s="2"/>
      <c r="J8" s="24"/>
    </row>
    <row r="9" spans="1:11" x14ac:dyDescent="0.25">
      <c r="A9" s="1"/>
      <c r="C9" s="17"/>
      <c r="D9" s="10"/>
      <c r="E9" s="3"/>
      <c r="G9" s="9"/>
      <c r="H9" s="9"/>
      <c r="I9" s="2"/>
      <c r="J9" s="24"/>
    </row>
    <row r="10" spans="1:11" x14ac:dyDescent="0.25">
      <c r="A10" s="1"/>
      <c r="C10" s="17"/>
      <c r="D10" s="10"/>
      <c r="E10" s="3"/>
      <c r="I10" s="2"/>
      <c r="J10" s="2"/>
    </row>
    <row r="11" spans="1:11" x14ac:dyDescent="0.25">
      <c r="A11" s="1" t="s">
        <v>4</v>
      </c>
      <c r="B11" s="5">
        <v>60</v>
      </c>
      <c r="C11" s="17">
        <v>47209</v>
      </c>
      <c r="D11" s="10">
        <v>622.07000000000005</v>
      </c>
      <c r="E11" s="10">
        <f t="shared" si="0"/>
        <v>1866.21</v>
      </c>
      <c r="F11" s="8">
        <v>613511</v>
      </c>
      <c r="G11" s="9" t="s">
        <v>38</v>
      </c>
      <c r="H11" s="9" t="s">
        <v>34</v>
      </c>
      <c r="I11" s="2" t="s">
        <v>5</v>
      </c>
      <c r="J11" s="11" t="s">
        <v>64</v>
      </c>
    </row>
    <row r="12" spans="1:11" x14ac:dyDescent="0.25">
      <c r="A12" s="1" t="s">
        <v>13</v>
      </c>
      <c r="B12" s="5">
        <v>60</v>
      </c>
      <c r="C12" s="17">
        <v>47300</v>
      </c>
      <c r="D12" s="10">
        <v>1451.51</v>
      </c>
      <c r="E12" s="10">
        <f>D12*3</f>
        <v>4354.53</v>
      </c>
      <c r="F12" s="7">
        <v>613511</v>
      </c>
      <c r="G12" s="9" t="s">
        <v>38</v>
      </c>
      <c r="H12" s="9" t="s">
        <v>34</v>
      </c>
      <c r="I12" s="2" t="s">
        <v>14</v>
      </c>
      <c r="J12" s="11" t="s">
        <v>64</v>
      </c>
    </row>
    <row r="13" spans="1:11" x14ac:dyDescent="0.25">
      <c r="A13" s="1" t="s">
        <v>26</v>
      </c>
      <c r="B13" s="5">
        <v>60</v>
      </c>
      <c r="C13" s="17">
        <v>47300</v>
      </c>
      <c r="D13" s="10">
        <v>87.56</v>
      </c>
      <c r="E13" s="10">
        <f>D13*3</f>
        <v>262.68</v>
      </c>
      <c r="F13" s="8">
        <v>613511</v>
      </c>
      <c r="G13" s="9" t="s">
        <v>38</v>
      </c>
      <c r="H13" s="9" t="s">
        <v>34</v>
      </c>
      <c r="I13" s="2" t="s">
        <v>27</v>
      </c>
      <c r="J13" s="11" t="s">
        <v>64</v>
      </c>
    </row>
    <row r="14" spans="1:11" x14ac:dyDescent="0.25">
      <c r="A14" s="1"/>
      <c r="C14" s="5"/>
      <c r="D14" s="23"/>
      <c r="I14" s="2"/>
    </row>
    <row r="15" spans="1:11" x14ac:dyDescent="0.25">
      <c r="A15" s="1" t="s">
        <v>22</v>
      </c>
      <c r="B15" s="5">
        <v>60</v>
      </c>
      <c r="C15" s="17">
        <v>47300</v>
      </c>
      <c r="D15" s="3">
        <v>1900</v>
      </c>
      <c r="E15" s="3">
        <f t="shared" si="0"/>
        <v>5700</v>
      </c>
      <c r="F15" s="8">
        <v>613512</v>
      </c>
      <c r="G15" s="9" t="s">
        <v>39</v>
      </c>
      <c r="H15" s="9" t="s">
        <v>34</v>
      </c>
      <c r="I15" s="2" t="s">
        <v>23</v>
      </c>
      <c r="J15" s="12" t="s">
        <v>11</v>
      </c>
    </row>
    <row r="16" spans="1:11" x14ac:dyDescent="0.25">
      <c r="A16" s="1"/>
      <c r="C16" s="17"/>
      <c r="D16" s="3"/>
      <c r="E16" s="3"/>
      <c r="I16" s="2"/>
      <c r="J16" s="2"/>
    </row>
    <row r="17" spans="1:10" x14ac:dyDescent="0.25">
      <c r="A17" s="1" t="s">
        <v>8</v>
      </c>
      <c r="B17" s="5">
        <v>36</v>
      </c>
      <c r="C17" s="17">
        <v>46661</v>
      </c>
      <c r="D17" s="3">
        <v>225.63</v>
      </c>
      <c r="E17" s="3">
        <f>D17*3</f>
        <v>676.89</v>
      </c>
      <c r="F17" s="8">
        <v>613513</v>
      </c>
      <c r="G17" s="9" t="s">
        <v>40</v>
      </c>
      <c r="H17" s="9" t="s">
        <v>34</v>
      </c>
      <c r="I17" s="13" t="s">
        <v>31</v>
      </c>
      <c r="J17" s="2" t="s">
        <v>9</v>
      </c>
    </row>
    <row r="18" spans="1:10" x14ac:dyDescent="0.25">
      <c r="A18" s="1"/>
      <c r="C18" s="17"/>
      <c r="D18" s="3"/>
      <c r="E18" s="3"/>
      <c r="G18" s="9"/>
      <c r="H18" s="9"/>
      <c r="I18" s="13"/>
      <c r="J18" s="2"/>
    </row>
    <row r="19" spans="1:10" x14ac:dyDescent="0.25">
      <c r="A19" s="1"/>
      <c r="C19" s="17"/>
      <c r="D19" s="3"/>
      <c r="E19" s="3"/>
      <c r="I19" s="2"/>
      <c r="J19" s="2"/>
    </row>
    <row r="20" spans="1:10" x14ac:dyDescent="0.25">
      <c r="A20" s="1" t="s">
        <v>15</v>
      </c>
      <c r="B20" s="5">
        <v>60</v>
      </c>
      <c r="C20" s="17">
        <v>47757</v>
      </c>
      <c r="D20" s="3">
        <v>148.32</v>
      </c>
      <c r="E20" s="3">
        <f t="shared" si="0"/>
        <v>444.96</v>
      </c>
      <c r="F20" s="8">
        <v>613515</v>
      </c>
      <c r="G20" s="9" t="s">
        <v>38</v>
      </c>
      <c r="H20" s="9" t="s">
        <v>35</v>
      </c>
      <c r="I20" s="2" t="s">
        <v>16</v>
      </c>
      <c r="J20" s="11" t="s">
        <v>64</v>
      </c>
    </row>
    <row r="21" spans="1:10" x14ac:dyDescent="0.25">
      <c r="A21" s="1" t="s">
        <v>20</v>
      </c>
      <c r="B21" s="5">
        <v>60</v>
      </c>
      <c r="C21" s="18">
        <v>47757</v>
      </c>
      <c r="D21" s="3">
        <v>337.38</v>
      </c>
      <c r="E21" s="3">
        <f t="shared" si="0"/>
        <v>1012.14</v>
      </c>
      <c r="F21" s="8">
        <v>613515</v>
      </c>
      <c r="G21" s="9" t="s">
        <v>38</v>
      </c>
      <c r="H21" s="9" t="s">
        <v>35</v>
      </c>
      <c r="I21" s="2" t="s">
        <v>21</v>
      </c>
      <c r="J21" s="11" t="s">
        <v>64</v>
      </c>
    </row>
    <row r="22" spans="1:10" x14ac:dyDescent="0.25">
      <c r="A22" s="1"/>
      <c r="C22" s="18"/>
      <c r="D22" s="3"/>
      <c r="E22" s="3"/>
      <c r="I22" s="2"/>
      <c r="J22" s="2"/>
    </row>
    <row r="23" spans="1:10" x14ac:dyDescent="0.25">
      <c r="A23" s="1" t="s">
        <v>10</v>
      </c>
      <c r="B23" s="5">
        <v>60</v>
      </c>
      <c r="C23" s="17">
        <v>47849</v>
      </c>
      <c r="D23" s="3">
        <v>391.1</v>
      </c>
      <c r="E23" s="3">
        <f t="shared" si="0"/>
        <v>1173.3000000000002</v>
      </c>
      <c r="F23" s="9">
        <v>613517</v>
      </c>
      <c r="G23" s="9" t="s">
        <v>39</v>
      </c>
      <c r="H23" s="9" t="s">
        <v>35</v>
      </c>
      <c r="I23" s="2" t="s">
        <v>12</v>
      </c>
      <c r="J23" s="12" t="s">
        <v>11</v>
      </c>
    </row>
    <row r="24" spans="1:10" x14ac:dyDescent="0.25">
      <c r="A24" s="1"/>
      <c r="C24" s="5"/>
    </row>
    <row r="25" spans="1:10" x14ac:dyDescent="0.25">
      <c r="A25" s="1" t="s">
        <v>41</v>
      </c>
      <c r="B25" s="5">
        <v>60</v>
      </c>
      <c r="C25" s="2" t="s">
        <v>47</v>
      </c>
      <c r="D25" s="3">
        <v>116.4</v>
      </c>
      <c r="E25" s="3">
        <f>D25*3</f>
        <v>349.20000000000005</v>
      </c>
      <c r="F25" s="20"/>
      <c r="G25" s="13" t="s">
        <v>63</v>
      </c>
      <c r="H25" s="22" t="s">
        <v>35</v>
      </c>
      <c r="I25" s="13" t="s">
        <v>63</v>
      </c>
      <c r="J25" s="19" t="s">
        <v>55</v>
      </c>
    </row>
    <row r="26" spans="1:10" x14ac:dyDescent="0.25">
      <c r="A26" s="1"/>
      <c r="C26" s="2"/>
      <c r="D26" s="3"/>
      <c r="E26" s="3"/>
      <c r="I26" s="2"/>
      <c r="J26" s="19"/>
    </row>
    <row r="27" spans="1:10" x14ac:dyDescent="0.25">
      <c r="A27" s="1"/>
      <c r="C27" s="2"/>
      <c r="D27" s="3"/>
      <c r="E27" s="3"/>
      <c r="I27" s="2"/>
      <c r="J27" s="19"/>
    </row>
    <row r="28" spans="1:10" x14ac:dyDescent="0.25">
      <c r="A28" s="1"/>
      <c r="C28" s="2"/>
      <c r="D28" s="3"/>
      <c r="E28" s="3"/>
      <c r="I28" s="2"/>
      <c r="J28" s="19"/>
    </row>
    <row r="29" spans="1:10" x14ac:dyDescent="0.25">
      <c r="A29" s="1" t="s">
        <v>43</v>
      </c>
      <c r="B29" s="5">
        <v>60</v>
      </c>
      <c r="C29" s="2" t="s">
        <v>48</v>
      </c>
      <c r="D29" s="3">
        <v>101.19</v>
      </c>
      <c r="E29" s="3">
        <f>D29*3</f>
        <v>303.57</v>
      </c>
      <c r="F29" s="20"/>
      <c r="G29" s="9" t="s">
        <v>62</v>
      </c>
      <c r="H29" s="9" t="s">
        <v>60</v>
      </c>
      <c r="I29" s="2" t="s">
        <v>51</v>
      </c>
      <c r="J29" s="19" t="s">
        <v>56</v>
      </c>
    </row>
    <row r="30" spans="1:10" x14ac:dyDescent="0.25">
      <c r="A30" s="1"/>
      <c r="C30" s="2"/>
      <c r="D30" s="3"/>
      <c r="E30" s="3"/>
      <c r="H30" s="9"/>
      <c r="I30" s="2"/>
      <c r="J30" s="19"/>
    </row>
    <row r="31" spans="1:10" x14ac:dyDescent="0.25">
      <c r="A31" s="1" t="s">
        <v>44</v>
      </c>
      <c r="B31" s="5">
        <v>60</v>
      </c>
      <c r="C31" s="2" t="s">
        <v>48</v>
      </c>
      <c r="D31" s="3">
        <v>587.07000000000005</v>
      </c>
      <c r="E31" s="3">
        <f>D31*3</f>
        <v>1761.21</v>
      </c>
      <c r="F31" s="20"/>
      <c r="G31" s="9" t="s">
        <v>38</v>
      </c>
      <c r="H31" s="9" t="s">
        <v>60</v>
      </c>
      <c r="I31" s="2" t="s">
        <v>52</v>
      </c>
      <c r="J31" s="19" t="s">
        <v>57</v>
      </c>
    </row>
    <row r="32" spans="1:10" x14ac:dyDescent="0.25">
      <c r="A32" s="1"/>
      <c r="C32" s="2"/>
      <c r="D32" s="3"/>
      <c r="E32" s="3"/>
      <c r="H32" s="9"/>
      <c r="I32" s="2"/>
      <c r="J32" s="19"/>
    </row>
    <row r="33" spans="1:10" x14ac:dyDescent="0.25">
      <c r="A33" s="1" t="s">
        <v>45</v>
      </c>
      <c r="B33" s="5">
        <v>60</v>
      </c>
      <c r="C33" s="2" t="s">
        <v>48</v>
      </c>
      <c r="D33" s="3">
        <v>322.39999999999998</v>
      </c>
      <c r="E33" s="3">
        <f>D33*3</f>
        <v>967.19999999999993</v>
      </c>
      <c r="F33" s="20"/>
      <c r="G33" s="9" t="s">
        <v>61</v>
      </c>
      <c r="H33" s="9" t="s">
        <v>60</v>
      </c>
      <c r="I33" s="2" t="s">
        <v>53</v>
      </c>
      <c r="J33" s="19" t="s">
        <v>58</v>
      </c>
    </row>
    <row r="34" spans="1:10" x14ac:dyDescent="0.25">
      <c r="A34" s="1"/>
      <c r="C34" s="2"/>
      <c r="D34" s="3"/>
      <c r="E34" s="3"/>
      <c r="H34" s="9"/>
      <c r="I34" s="2"/>
      <c r="J34" s="19"/>
    </row>
    <row r="35" spans="1:10" x14ac:dyDescent="0.25">
      <c r="A35" s="1" t="s">
        <v>46</v>
      </c>
      <c r="B35" s="5">
        <v>60</v>
      </c>
      <c r="C35" s="2" t="s">
        <v>49</v>
      </c>
      <c r="D35" s="3">
        <v>1800</v>
      </c>
      <c r="E35" s="3">
        <f>D35*3</f>
        <v>5400</v>
      </c>
      <c r="F35" s="20"/>
      <c r="G35" s="9" t="s">
        <v>39</v>
      </c>
      <c r="H35" s="22" t="s">
        <v>60</v>
      </c>
      <c r="I35" s="2" t="s">
        <v>54</v>
      </c>
      <c r="J35" s="19" t="s">
        <v>59</v>
      </c>
    </row>
    <row r="36" spans="1:10" x14ac:dyDescent="0.25">
      <c r="C36" s="5"/>
    </row>
    <row r="37" spans="1:10" x14ac:dyDescent="0.25">
      <c r="C37" s="5"/>
    </row>
    <row r="38" spans="1:10" x14ac:dyDescent="0.25">
      <c r="C38" s="5"/>
    </row>
    <row r="39" spans="1:10" x14ac:dyDescent="0.25">
      <c r="A39" s="1" t="s">
        <v>17</v>
      </c>
      <c r="B39" s="5">
        <v>60</v>
      </c>
      <c r="C39" s="17">
        <v>47849</v>
      </c>
      <c r="D39" s="3">
        <v>208</v>
      </c>
      <c r="E39" s="3">
        <f>D39*3</f>
        <v>624</v>
      </c>
      <c r="F39" s="8">
        <v>613516</v>
      </c>
      <c r="G39" s="9" t="s">
        <v>37</v>
      </c>
      <c r="H39" s="9" t="s">
        <v>36</v>
      </c>
      <c r="I39" s="2" t="s">
        <v>19</v>
      </c>
      <c r="J39" s="2" t="s">
        <v>18</v>
      </c>
    </row>
  </sheetData>
  <sortState xmlns:xlrd2="http://schemas.microsoft.com/office/spreadsheetml/2017/richdata2" ref="A6:K23">
    <sortCondition ref="C6:C23"/>
  </sortState>
  <mergeCells count="1">
    <mergeCell ref="A1:J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Contract details</vt:lpstr>
      <vt:lpstr>'Contract details'!Zone_d_impression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acco</dc:creator>
  <cp:lastModifiedBy>didier acco</cp:lastModifiedBy>
  <cp:lastPrinted>2026-04-09T13:47:48Z</cp:lastPrinted>
  <dcterms:created xsi:type="dcterms:W3CDTF">2025-11-10T16:21:58Z</dcterms:created>
  <dcterms:modified xsi:type="dcterms:W3CDTF">2026-04-09T15:16:10Z</dcterms:modified>
</cp:coreProperties>
</file>